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\Desktop\ProjetosUMC\AdmDeSistemas\DocumentaçãoProjetoM2\"/>
    </mc:Choice>
  </mc:AlternateContent>
  <xr:revisionPtr revIDLastSave="0" documentId="13_ncr:1_{633432BA-B8D3-4FF3-BF7D-3726891ADC64}" xr6:coauthVersionLast="47" xr6:coauthVersionMax="47" xr10:uidLastSave="{00000000-0000-0000-0000-000000000000}"/>
  <bookViews>
    <workbookView xWindow="-108" yWindow="-108" windowWidth="23256" windowHeight="12456" xr2:uid="{6CBA9A80-5965-4CDB-AD38-2A75850FA32E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J3" i="2"/>
  <c r="I3" i="2"/>
  <c r="H3" i="2"/>
  <c r="G3" i="2"/>
  <c r="F3" i="2"/>
  <c r="E3" i="2"/>
  <c r="D3" i="2"/>
  <c r="C3" i="2"/>
  <c r="F13" i="1"/>
</calcChain>
</file>

<file path=xl/sharedStrings.xml><?xml version="1.0" encoding="utf-8"?>
<sst xmlns="http://schemas.openxmlformats.org/spreadsheetml/2006/main" count="46" uniqueCount="28">
  <si>
    <t>Atividade</t>
  </si>
  <si>
    <t>Duração</t>
  </si>
  <si>
    <t>Predecessoras</t>
  </si>
  <si>
    <t>Data de início</t>
  </si>
  <si>
    <t>Data de fim</t>
  </si>
  <si>
    <t>Custos</t>
  </si>
  <si>
    <t>A</t>
  </si>
  <si>
    <t>2 semanas</t>
  </si>
  <si>
    <t>—</t>
  </si>
  <si>
    <t>B</t>
  </si>
  <si>
    <t>7 semanas</t>
  </si>
  <si>
    <t>C</t>
  </si>
  <si>
    <t>16 semanas</t>
  </si>
  <si>
    <t>D</t>
  </si>
  <si>
    <t>33 semanas</t>
  </si>
  <si>
    <t>E</t>
  </si>
  <si>
    <t>24 semanas</t>
  </si>
  <si>
    <t>F</t>
  </si>
  <si>
    <t>10 semanas</t>
  </si>
  <si>
    <t>D, E</t>
  </si>
  <si>
    <t>G</t>
  </si>
  <si>
    <t>4 semanas</t>
  </si>
  <si>
    <t>H</t>
  </si>
  <si>
    <t>I</t>
  </si>
  <si>
    <t>Sequenciamento e custos otimizado para menos gastos</t>
  </si>
  <si>
    <t>TOTAL</t>
  </si>
  <si>
    <t>Curva BCWS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</si>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</sst>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8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8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BCWS versão otimizada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Planilha2!$B$3:$K$3</c:f>
              <c:numCache>
                <c:formatCode>"R$"#,##0.00_);[Red]\("R$"#,##0.00\)</c:formatCode>
                <c:ptCount val="10"/>
                <c:pt idx="0" formatCode="General">
                  <c:v>0</c:v>
                </c:pt>
                <c:pt idx="1">
                  <c:v>12800</c:v>
                </c:pt>
                <c:pt idx="2">
                  <c:v>58600</c:v>
                </c:pt>
                <c:pt idx="3">
                  <c:v>200100</c:v>
                </c:pt>
                <c:pt idx="4">
                  <c:v>456200</c:v>
                </c:pt>
                <c:pt idx="5">
                  <c:v>618000</c:v>
                </c:pt>
                <c:pt idx="6">
                  <c:v>698900</c:v>
                </c:pt>
                <c:pt idx="7">
                  <c:v>732600</c:v>
                </c:pt>
                <c:pt idx="8">
                  <c:v>766300</c:v>
                </c:pt>
                <c:pt idx="9">
                  <c:v>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B-44BB-8F07-1B6A555C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30633240"/>
        <c:axId val="430634320"/>
      </c:lineChart>
      <c:catAx>
        <c:axId val="430633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634320"/>
        <c:crosses val="autoZero"/>
        <c:auto val="1"/>
        <c:lblAlgn val="ctr"/>
        <c:lblOffset val="100"/>
        <c:noMultiLvlLbl val="0"/>
      </c:catAx>
      <c:valAx>
        <c:axId val="43063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633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4</xdr:row>
      <xdr:rowOff>28574</xdr:rowOff>
    </xdr:from>
    <xdr:to>
      <xdr:col>11</xdr:col>
      <xdr:colOff>38100</xdr:colOff>
      <xdr:row>31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C0FA0E-7EAA-74D7-2869-DC8A8D88D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8688-A91D-4B59-94F3-27CEED413BF5}">
  <dimension ref="A1:I13"/>
  <sheetViews>
    <sheetView tabSelected="1" zoomScale="85" zoomScaleNormal="85" workbookViewId="0">
      <selection activeCell="G4" sqref="G4"/>
    </sheetView>
  </sheetViews>
  <sheetFormatPr defaultRowHeight="14.4" x14ac:dyDescent="0.3"/>
  <cols>
    <col min="1" max="1" width="12.5546875" customWidth="1"/>
    <col min="2" max="2" width="12.109375" customWidth="1"/>
    <col min="3" max="3" width="16.5546875" customWidth="1"/>
    <col min="4" max="4" width="20.109375" customWidth="1"/>
    <col min="5" max="5" width="19.6640625" customWidth="1"/>
    <col min="6" max="6" width="17.88671875" customWidth="1"/>
  </cols>
  <sheetData>
    <row r="1" spans="1:9" ht="18" x14ac:dyDescent="0.3">
      <c r="A1" s="3" t="s">
        <v>24</v>
      </c>
      <c r="B1" s="1"/>
      <c r="C1" s="1"/>
      <c r="D1" s="1"/>
    </row>
    <row r="3" spans="1:9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9" x14ac:dyDescent="0.3">
      <c r="A4" s="5" t="s">
        <v>6</v>
      </c>
      <c r="B4" s="4" t="s">
        <v>7</v>
      </c>
      <c r="C4" s="4" t="s">
        <v>8</v>
      </c>
      <c r="D4" s="6">
        <v>45901</v>
      </c>
      <c r="E4" s="6">
        <v>45915</v>
      </c>
      <c r="F4" s="7">
        <v>12800</v>
      </c>
    </row>
    <row r="5" spans="1:9" x14ac:dyDescent="0.3">
      <c r="A5" s="5" t="s">
        <v>9</v>
      </c>
      <c r="B5" s="4" t="s">
        <v>10</v>
      </c>
      <c r="C5" s="4" t="s">
        <v>6</v>
      </c>
      <c r="D5" s="6">
        <v>45915</v>
      </c>
      <c r="E5" s="6">
        <v>45964</v>
      </c>
      <c r="F5" s="7">
        <v>45800</v>
      </c>
    </row>
    <row r="6" spans="1:9" x14ac:dyDescent="0.3">
      <c r="A6" s="5" t="s">
        <v>11</v>
      </c>
      <c r="B6" s="4" t="s">
        <v>12</v>
      </c>
      <c r="C6" s="4" t="s">
        <v>6</v>
      </c>
      <c r="D6" s="6">
        <v>45915</v>
      </c>
      <c r="E6" s="6">
        <v>46027</v>
      </c>
      <c r="F6" s="7">
        <v>141500</v>
      </c>
    </row>
    <row r="7" spans="1:9" x14ac:dyDescent="0.3">
      <c r="A7" s="5" t="s">
        <v>13</v>
      </c>
      <c r="B7" s="4" t="s">
        <v>14</v>
      </c>
      <c r="C7" s="4" t="s">
        <v>9</v>
      </c>
      <c r="D7" s="6">
        <v>45964</v>
      </c>
      <c r="E7" s="6">
        <v>46195</v>
      </c>
      <c r="F7" s="7">
        <v>256100</v>
      </c>
    </row>
    <row r="8" spans="1:9" x14ac:dyDescent="0.3">
      <c r="A8" s="5" t="s">
        <v>15</v>
      </c>
      <c r="B8" s="4" t="s">
        <v>16</v>
      </c>
      <c r="C8" s="4" t="s">
        <v>11</v>
      </c>
      <c r="D8" s="6">
        <v>46027</v>
      </c>
      <c r="E8" s="6">
        <v>46195</v>
      </c>
      <c r="F8" s="7">
        <v>161800</v>
      </c>
    </row>
    <row r="9" spans="1:9" x14ac:dyDescent="0.3">
      <c r="A9" s="5" t="s">
        <v>17</v>
      </c>
      <c r="B9" s="4" t="s">
        <v>18</v>
      </c>
      <c r="C9" s="4" t="s">
        <v>19</v>
      </c>
      <c r="D9" s="6">
        <v>46195</v>
      </c>
      <c r="E9" s="6">
        <v>46265</v>
      </c>
      <c r="F9" s="7">
        <v>80900</v>
      </c>
    </row>
    <row r="10" spans="1:9" x14ac:dyDescent="0.3">
      <c r="A10" s="5" t="s">
        <v>20</v>
      </c>
      <c r="B10" s="4" t="s">
        <v>21</v>
      </c>
      <c r="C10" s="4" t="s">
        <v>17</v>
      </c>
      <c r="D10" s="6">
        <v>46265</v>
      </c>
      <c r="E10" s="6">
        <v>46293</v>
      </c>
      <c r="F10" s="7">
        <v>33700</v>
      </c>
      <c r="I10" s="8"/>
    </row>
    <row r="11" spans="1:9" x14ac:dyDescent="0.3">
      <c r="A11" s="5" t="s">
        <v>22</v>
      </c>
      <c r="B11" s="4" t="s">
        <v>21</v>
      </c>
      <c r="C11" s="4" t="s">
        <v>20</v>
      </c>
      <c r="D11" s="6">
        <v>46293</v>
      </c>
      <c r="E11" s="6">
        <v>46321</v>
      </c>
      <c r="F11" s="7">
        <v>33700</v>
      </c>
    </row>
    <row r="12" spans="1:9" x14ac:dyDescent="0.3">
      <c r="A12" s="5" t="s">
        <v>23</v>
      </c>
      <c r="B12" s="4" t="s">
        <v>21</v>
      </c>
      <c r="C12" s="4" t="s">
        <v>22</v>
      </c>
      <c r="D12" s="6">
        <v>46321</v>
      </c>
      <c r="E12" s="6">
        <v>46349</v>
      </c>
      <c r="F12" s="7">
        <v>33700</v>
      </c>
    </row>
    <row r="13" spans="1:9" x14ac:dyDescent="0.3">
      <c r="A13" s="5" t="s">
        <v>25</v>
      </c>
      <c r="B13" s="4"/>
      <c r="C13" s="4"/>
      <c r="D13" s="4"/>
      <c r="E13" s="4"/>
      <c r="F13" s="7">
        <f>SUM(F4:F12)</f>
        <v>800000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6951-CC0F-480D-9E34-3C2FFD02C14A}">
  <dimension ref="A1:K3"/>
  <sheetViews>
    <sheetView topLeftCell="A7" workbookViewId="0">
      <selection activeCell="O9" sqref="O9"/>
    </sheetView>
  </sheetViews>
  <sheetFormatPr defaultRowHeight="14.4" x14ac:dyDescent="0.3"/>
  <cols>
    <col min="1" max="1" width="16.33203125" customWidth="1"/>
    <col min="3" max="3" width="13" customWidth="1"/>
    <col min="4" max="4" width="15" customWidth="1"/>
    <col min="5" max="5" width="13.44140625" customWidth="1"/>
    <col min="6" max="6" width="13.33203125" customWidth="1"/>
    <col min="7" max="7" width="13.5546875" customWidth="1"/>
    <col min="8" max="8" width="13.44140625" customWidth="1"/>
    <col min="9" max="9" width="16" customWidth="1"/>
    <col min="10" max="10" width="16.6640625" customWidth="1"/>
    <col min="11" max="11" width="20.5546875" customWidth="1"/>
  </cols>
  <sheetData>
    <row r="1" spans="1:11" x14ac:dyDescent="0.3">
      <c r="A1" s="9" t="s">
        <v>26</v>
      </c>
      <c r="B1" s="9" t="s">
        <v>27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20</v>
      </c>
      <c r="J1" s="2" t="s">
        <v>22</v>
      </c>
      <c r="K1" s="2" t="s">
        <v>23</v>
      </c>
    </row>
    <row r="2" spans="1:11" x14ac:dyDescent="0.3">
      <c r="A2" s="11"/>
      <c r="B2" s="10"/>
      <c r="C2" s="7">
        <v>12800</v>
      </c>
      <c r="D2" s="7">
        <v>45800</v>
      </c>
      <c r="E2" s="7">
        <v>141500</v>
      </c>
      <c r="F2" s="7">
        <v>256100</v>
      </c>
      <c r="G2" s="7">
        <v>161800</v>
      </c>
      <c r="H2" s="7">
        <v>80900</v>
      </c>
      <c r="I2" s="7">
        <v>33700</v>
      </c>
      <c r="J2" s="7">
        <v>33700</v>
      </c>
      <c r="K2" s="7">
        <v>33700</v>
      </c>
    </row>
    <row r="3" spans="1:11" x14ac:dyDescent="0.3">
      <c r="A3" s="11"/>
      <c r="B3" s="9">
        <v>0</v>
      </c>
      <c r="C3" s="12">
        <f t="shared" ref="C3:K3" si="0">SUM(B3,C2)</f>
        <v>12800</v>
      </c>
      <c r="D3" s="12">
        <f t="shared" si="0"/>
        <v>58600</v>
      </c>
      <c r="E3" s="12">
        <f t="shared" si="0"/>
        <v>200100</v>
      </c>
      <c r="F3" s="12">
        <f t="shared" si="0"/>
        <v>456200</v>
      </c>
      <c r="G3" s="12">
        <f t="shared" si="0"/>
        <v>618000</v>
      </c>
      <c r="H3" s="12">
        <f t="shared" si="0"/>
        <v>698900</v>
      </c>
      <c r="I3" s="12">
        <f t="shared" si="0"/>
        <v>732600</v>
      </c>
      <c r="J3" s="12">
        <f t="shared" si="0"/>
        <v>766300</v>
      </c>
      <c r="K3" s="12">
        <f t="shared" si="0"/>
        <v>800000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ULISSES FERNANDES JUNIOR</dc:creator>
  <cp:lastModifiedBy>JOSÉ ULISSES FERNANDES JUNIOR</cp:lastModifiedBy>
  <cp:lastPrinted>2025-11-11T21:46:22Z</cp:lastPrinted>
  <dcterms:created xsi:type="dcterms:W3CDTF">2025-11-11T21:38:02Z</dcterms:created>
  <dcterms:modified xsi:type="dcterms:W3CDTF">2025-11-12T13:41:40Z</dcterms:modified>
</cp:coreProperties>
</file>