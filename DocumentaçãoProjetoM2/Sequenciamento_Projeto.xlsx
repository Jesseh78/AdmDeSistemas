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osé\Desktop\ProjetosUMC\AdmDeSistemas\DocumentaçãoProjetoM2\"/>
    </mc:Choice>
  </mc:AlternateContent>
  <xr:revisionPtr revIDLastSave="0" documentId="13_ncr:1_{B019B0B0-2142-481F-9B5D-134C6A28EC07}" xr6:coauthVersionLast="47" xr6:coauthVersionMax="47" xr10:uidLastSave="{00000000-0000-0000-0000-000000000000}"/>
  <bookViews>
    <workbookView xWindow="-120" yWindow="-120" windowWidth="29040" windowHeight="15720" xr2:uid="{146F682A-E9AB-4D56-90FA-9CFFDBA5AD94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1" i="1" l="1"/>
  <c r="K41" i="1"/>
  <c r="J41" i="1"/>
  <c r="I41" i="1"/>
  <c r="H41" i="1"/>
  <c r="G41" i="1"/>
  <c r="F41" i="1"/>
  <c r="E41" i="1"/>
  <c r="D41" i="1"/>
  <c r="D43" i="1" s="1"/>
  <c r="L40" i="1"/>
  <c r="K40" i="1"/>
  <c r="J40" i="1"/>
  <c r="I40" i="1"/>
  <c r="H40" i="1"/>
  <c r="F40" i="1"/>
  <c r="E40" i="1"/>
  <c r="D40" i="1"/>
  <c r="E43" i="1" l="1"/>
  <c r="F43" i="1" s="1"/>
  <c r="G43" i="1" s="1"/>
  <c r="H43" i="1" s="1"/>
  <c r="I43" i="1" s="1"/>
  <c r="J43" i="1" s="1"/>
  <c r="K43" i="1" s="1"/>
  <c r="L43" i="1" s="1"/>
</calcChain>
</file>

<file path=xl/sharedStrings.xml><?xml version="1.0" encoding="utf-8"?>
<sst xmlns="http://schemas.openxmlformats.org/spreadsheetml/2006/main" count="35" uniqueCount="32">
  <si>
    <t>Atividade</t>
  </si>
  <si>
    <t>Duração</t>
  </si>
  <si>
    <t>Predecessoras</t>
  </si>
  <si>
    <t>A</t>
  </si>
  <si>
    <t>B</t>
  </si>
  <si>
    <t>C</t>
  </si>
  <si>
    <t>D</t>
  </si>
  <si>
    <t>F</t>
  </si>
  <si>
    <t>G</t>
  </si>
  <si>
    <t>H</t>
  </si>
  <si>
    <t>D,E</t>
  </si>
  <si>
    <t>2 semanas</t>
  </si>
  <si>
    <t>7semanas</t>
  </si>
  <si>
    <t>22semanas</t>
  </si>
  <si>
    <t>43semanas</t>
  </si>
  <si>
    <t>32semanas</t>
  </si>
  <si>
    <t>10semanas</t>
  </si>
  <si>
    <t>4semanas</t>
  </si>
  <si>
    <t>Data de inicio</t>
  </si>
  <si>
    <t xml:space="preserve">Data de Fim </t>
  </si>
  <si>
    <t>,</t>
  </si>
  <si>
    <t>Custos</t>
  </si>
  <si>
    <t>INICIO</t>
  </si>
  <si>
    <t>A - Planejamento</t>
  </si>
  <si>
    <t>B - Infraestrutura</t>
  </si>
  <si>
    <t>C - Aplicação mobile</t>
  </si>
  <si>
    <t>D - Implementação IA</t>
  </si>
  <si>
    <t>E - Documentação</t>
  </si>
  <si>
    <t>F - Testes/ integração</t>
  </si>
  <si>
    <t>G - Entrega</t>
  </si>
  <si>
    <t>H - Encerramento projeto</t>
  </si>
  <si>
    <t>i - Publicação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</si>
</sst>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14" fontId="0" fillId="3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164" fontId="2" fillId="3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numFmt numFmtId="164" formatCode="&quot;R$&quot;\ #,##0.0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3" tint="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Curva BCWS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6.7447100085940584E-2"/>
          <c:y val="0.10683933590805288"/>
          <c:w val="0.91485378486981161"/>
          <c:h val="0.84846558926768112"/>
        </c:manualLayout>
      </c:layout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Planilha1!$C$40:$L$40</c:f>
              <c:strCache>
                <c:ptCount val="10"/>
                <c:pt idx="0">
                  <c:v>INICIO</c:v>
                </c:pt>
                <c:pt idx="1">
                  <c:v>A - Planejamento</c:v>
                </c:pt>
                <c:pt idx="2">
                  <c:v>B - Infraestrutura</c:v>
                </c:pt>
                <c:pt idx="3">
                  <c:v>C - Aplicação mobile</c:v>
                </c:pt>
                <c:pt idx="4">
                  <c:v>D</c:v>
                </c:pt>
                <c:pt idx="5">
                  <c:v>E - Documentação</c:v>
                </c:pt>
                <c:pt idx="6">
                  <c:v>F - Testes/ integração</c:v>
                </c:pt>
                <c:pt idx="7">
                  <c:v>G - Entrega</c:v>
                </c:pt>
                <c:pt idx="8">
                  <c:v>H - Encerramento projeto</c:v>
                </c:pt>
                <c:pt idx="9">
                  <c:v>i - Publicação</c:v>
                </c:pt>
              </c:strCache>
            </c:strRef>
          </c:cat>
          <c:val>
            <c:numRef>
              <c:f>Planilha1!$C$43:$L$43</c:f>
              <c:numCache>
                <c:formatCode>"R$"\ #,##0.00</c:formatCode>
                <c:ptCount val="10"/>
                <c:pt idx="0" formatCode="General">
                  <c:v>0</c:v>
                </c:pt>
                <c:pt idx="1">
                  <c:v>0</c:v>
                </c:pt>
                <c:pt idx="2">
                  <c:v>69020</c:v>
                </c:pt>
                <c:pt idx="3">
                  <c:v>280840</c:v>
                </c:pt>
                <c:pt idx="4">
                  <c:v>692580</c:v>
                </c:pt>
                <c:pt idx="5">
                  <c:v>999600</c:v>
                </c:pt>
                <c:pt idx="6">
                  <c:v>1097180</c:v>
                </c:pt>
                <c:pt idx="7">
                  <c:v>1137640</c:v>
                </c:pt>
                <c:pt idx="8">
                  <c:v>1178100</c:v>
                </c:pt>
                <c:pt idx="9">
                  <c:v>1218560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E5-492B-A106-43D1878474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12694784"/>
        <c:axId val="1712693344"/>
      </c:lineChart>
      <c:catAx>
        <c:axId val="1712694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12693344"/>
        <c:crosses val="autoZero"/>
        <c:auto val="1"/>
        <c:lblAlgn val="ctr"/>
        <c:lblOffset val="100"/>
        <c:noMultiLvlLbl val="0"/>
      </c:catAx>
      <c:valAx>
        <c:axId val="171269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12694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4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1019175</xdr:colOff>
      <xdr:row>44</xdr:row>
      <xdr:rowOff>14286</xdr:rowOff>
    </xdr:from>
    <xdr:to>
      <xdr:col>8</xdr:col>
      <xdr:colOff>400050</xdr:colOff>
      <xdr:row>71</xdr:row>
      <xdr:rowOff>19049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B76291D3-67E6-B112-1C4E-574125D133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DA9F061-B95C-4F11-B451-AC98067A0A37}" name="Tabela1" displayName="Tabela1" ref="B2:G11" totalsRowShown="0" headerRowDxfId="8">
  <autoFilter ref="B2:G11" xr:uid="{FDA9F061-B95C-4F11-B451-AC98067A0A37}"/>
  <tableColumns count="6">
    <tableColumn id="1" xr3:uid="{A31564BC-034D-4EB6-8214-028EEE07DB2F}" name="Atividade" dataDxfId="7"/>
    <tableColumn id="2" xr3:uid="{50D6178A-B9D0-47FD-8756-B117FC4218D0}" name="Duração" dataDxfId="6"/>
    <tableColumn id="3" xr3:uid="{C55FD3DE-1F76-4321-BA89-9C62EDFE302D}" name="Predecessoras" dataDxfId="5"/>
    <tableColumn id="4" xr3:uid="{7C089E20-DF33-45D5-82CB-634BACF75E57}" name="Data de inicio" dataDxfId="4"/>
    <tableColumn id="5" xr3:uid="{A1A2FB86-56B8-474B-83C6-2A20F32E8E1A}" name="Data de Fim " dataDxfId="3"/>
    <tableColumn id="6" xr3:uid="{9BB0B084-A3A0-4C6C-981B-5AA5DBC905B7}" name="Custos" dataDxfId="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81372-2856-48E3-9130-91911B3384D5}">
  <dimension ref="B2:L43"/>
  <sheetViews>
    <sheetView tabSelected="1" topLeftCell="A58" zoomScaleNormal="100" workbookViewId="0">
      <selection activeCell="H78" sqref="H78"/>
    </sheetView>
  </sheetViews>
  <sheetFormatPr defaultRowHeight="15" x14ac:dyDescent="0.25"/>
  <cols>
    <col min="1" max="1" width="2.28515625" customWidth="1"/>
    <col min="2" max="2" width="22.7109375" customWidth="1"/>
    <col min="3" max="3" width="17" customWidth="1"/>
    <col min="4" max="4" width="21.28515625" customWidth="1"/>
    <col min="5" max="5" width="21.140625" customWidth="1"/>
    <col min="6" max="6" width="22.28515625" customWidth="1"/>
    <col min="7" max="7" width="26.85546875" customWidth="1"/>
    <col min="8" max="12" width="14.42578125" bestFit="1" customWidth="1"/>
  </cols>
  <sheetData>
    <row r="2" spans="2:7" x14ac:dyDescent="0.25">
      <c r="B2" s="5" t="s">
        <v>0</v>
      </c>
      <c r="C2" s="5" t="s">
        <v>1</v>
      </c>
      <c r="D2" s="5" t="s">
        <v>2</v>
      </c>
      <c r="E2" s="5" t="s">
        <v>18</v>
      </c>
      <c r="F2" s="5" t="s">
        <v>19</v>
      </c>
      <c r="G2" s="5" t="s">
        <v>21</v>
      </c>
    </row>
    <row r="3" spans="2:7" x14ac:dyDescent="0.25">
      <c r="B3" s="6" t="s">
        <v>23</v>
      </c>
      <c r="C3" s="6" t="s">
        <v>11</v>
      </c>
      <c r="D3" s="6"/>
      <c r="E3" s="7">
        <v>45901</v>
      </c>
      <c r="F3" s="7">
        <v>45915</v>
      </c>
      <c r="G3" s="8">
        <v>0</v>
      </c>
    </row>
    <row r="4" spans="2:7" x14ac:dyDescent="0.25">
      <c r="B4" s="6" t="s">
        <v>24</v>
      </c>
      <c r="C4" s="6" t="s">
        <v>12</v>
      </c>
      <c r="D4" s="6" t="s">
        <v>3</v>
      </c>
      <c r="E4" s="7">
        <v>45915</v>
      </c>
      <c r="F4" s="7">
        <v>45964</v>
      </c>
      <c r="G4" s="8">
        <v>69020</v>
      </c>
    </row>
    <row r="5" spans="2:7" x14ac:dyDescent="0.25">
      <c r="B5" s="6" t="s">
        <v>25</v>
      </c>
      <c r="C5" s="6" t="s">
        <v>13</v>
      </c>
      <c r="D5" s="6" t="s">
        <v>3</v>
      </c>
      <c r="E5" s="7">
        <v>45964</v>
      </c>
      <c r="F5" s="7">
        <v>46090</v>
      </c>
      <c r="G5" s="8">
        <v>211820</v>
      </c>
    </row>
    <row r="6" spans="2:7" x14ac:dyDescent="0.25">
      <c r="B6" s="6" t="s">
        <v>26</v>
      </c>
      <c r="C6" s="6" t="s">
        <v>14</v>
      </c>
      <c r="D6" s="6" t="s">
        <v>4</v>
      </c>
      <c r="E6" s="7">
        <v>46090</v>
      </c>
      <c r="F6" s="7">
        <v>46244</v>
      </c>
      <c r="G6" s="8">
        <v>411740</v>
      </c>
    </row>
    <row r="7" spans="2:7" x14ac:dyDescent="0.25">
      <c r="B7" s="6" t="s">
        <v>27</v>
      </c>
      <c r="C7" s="6" t="s">
        <v>15</v>
      </c>
      <c r="D7" s="6" t="s">
        <v>5</v>
      </c>
      <c r="E7" s="7">
        <v>45964</v>
      </c>
      <c r="F7" s="7">
        <v>46265</v>
      </c>
      <c r="G7" s="8">
        <v>307020</v>
      </c>
    </row>
    <row r="8" spans="2:7" x14ac:dyDescent="0.25">
      <c r="B8" s="6" t="s">
        <v>28</v>
      </c>
      <c r="C8" s="6" t="s">
        <v>16</v>
      </c>
      <c r="D8" s="6" t="s">
        <v>10</v>
      </c>
      <c r="E8" s="7">
        <v>45964</v>
      </c>
      <c r="F8" s="7">
        <v>46342</v>
      </c>
      <c r="G8" s="8">
        <v>97580</v>
      </c>
    </row>
    <row r="9" spans="2:7" x14ac:dyDescent="0.25">
      <c r="B9" s="6" t="s">
        <v>29</v>
      </c>
      <c r="C9" s="6" t="s">
        <v>17</v>
      </c>
      <c r="D9" s="6" t="s">
        <v>7</v>
      </c>
      <c r="E9" s="7">
        <v>46244</v>
      </c>
      <c r="F9" s="7">
        <v>46314</v>
      </c>
      <c r="G9" s="9">
        <v>40460</v>
      </c>
    </row>
    <row r="10" spans="2:7" x14ac:dyDescent="0.25">
      <c r="B10" s="6" t="s">
        <v>30</v>
      </c>
      <c r="C10" s="6" t="s">
        <v>17</v>
      </c>
      <c r="D10" s="6" t="s">
        <v>8</v>
      </c>
      <c r="E10" s="7">
        <v>46314</v>
      </c>
      <c r="F10" s="7">
        <v>46342</v>
      </c>
      <c r="G10" s="9">
        <v>40460</v>
      </c>
    </row>
    <row r="11" spans="2:7" x14ac:dyDescent="0.25">
      <c r="B11" s="6" t="s">
        <v>31</v>
      </c>
      <c r="C11" s="6" t="s">
        <v>17</v>
      </c>
      <c r="D11" s="6" t="s">
        <v>9</v>
      </c>
      <c r="E11" s="7">
        <v>46342</v>
      </c>
      <c r="F11" s="7">
        <v>46370</v>
      </c>
      <c r="G11" s="9">
        <v>40460</v>
      </c>
    </row>
    <row r="13" spans="2:7" x14ac:dyDescent="0.25">
      <c r="G13" s="1"/>
    </row>
    <row r="15" spans="2:7" x14ac:dyDescent="0.25">
      <c r="D15" t="s">
        <v>20</v>
      </c>
    </row>
    <row r="26" spans="11:11" x14ac:dyDescent="0.25">
      <c r="K26" s="4"/>
    </row>
    <row r="40" spans="2:12" x14ac:dyDescent="0.25">
      <c r="B40" s="2"/>
      <c r="C40" s="2" t="s">
        <v>22</v>
      </c>
      <c r="D40" s="2" t="str">
        <f>B3</f>
        <v>A - Planejamento</v>
      </c>
      <c r="E40" s="2" t="str">
        <f>B4</f>
        <v>B - Infraestrutura</v>
      </c>
      <c r="F40" s="2" t="str">
        <f>B5</f>
        <v>C - Aplicação mobile</v>
      </c>
      <c r="G40" s="2" t="s">
        <v>6</v>
      </c>
      <c r="H40" s="2" t="str">
        <f>B7</f>
        <v>E - Documentação</v>
      </c>
      <c r="I40" s="2" t="str">
        <f>B8</f>
        <v>F - Testes/ integração</v>
      </c>
      <c r="J40" s="2" t="str">
        <f>B9</f>
        <v>G - Entrega</v>
      </c>
      <c r="K40" s="2" t="str">
        <f>B10</f>
        <v>H - Encerramento projeto</v>
      </c>
      <c r="L40" s="2" t="str">
        <f>B11</f>
        <v>i - Publicação</v>
      </c>
    </row>
    <row r="41" spans="2:12" x14ac:dyDescent="0.25">
      <c r="B41" s="2"/>
      <c r="C41" s="2"/>
      <c r="D41" s="3">
        <f>G3</f>
        <v>0</v>
      </c>
      <c r="E41" s="3">
        <f>G4</f>
        <v>69020</v>
      </c>
      <c r="F41" s="3">
        <f>G5</f>
        <v>211820</v>
      </c>
      <c r="G41" s="3">
        <f>G6</f>
        <v>411740</v>
      </c>
      <c r="H41" s="3">
        <f>G7</f>
        <v>307020</v>
      </c>
      <c r="I41" s="3">
        <f>G8</f>
        <v>97580</v>
      </c>
      <c r="J41" s="3">
        <f>G9</f>
        <v>40460</v>
      </c>
      <c r="K41" s="3">
        <f>G10</f>
        <v>40460</v>
      </c>
      <c r="L41" s="3">
        <f>G11</f>
        <v>40460</v>
      </c>
    </row>
    <row r="43" spans="2:12" x14ac:dyDescent="0.25">
      <c r="C43">
        <v>0</v>
      </c>
      <c r="D43" s="3">
        <f>C43+D41</f>
        <v>0</v>
      </c>
      <c r="E43" s="3">
        <f>D43+E41</f>
        <v>69020</v>
      </c>
      <c r="F43" s="3">
        <f t="shared" ref="F43:L43" si="0">E43+F41</f>
        <v>280840</v>
      </c>
      <c r="G43" s="3">
        <f t="shared" si="0"/>
        <v>692580</v>
      </c>
      <c r="H43" s="1">
        <f t="shared" si="0"/>
        <v>999600</v>
      </c>
      <c r="I43" s="1">
        <f t="shared" si="0"/>
        <v>1097180</v>
      </c>
      <c r="J43" s="1">
        <f t="shared" si="0"/>
        <v>1137640</v>
      </c>
      <c r="K43" s="1">
        <f t="shared" si="0"/>
        <v>1178100</v>
      </c>
      <c r="L43" s="1">
        <f t="shared" si="0"/>
        <v>1218560</v>
      </c>
    </row>
  </sheetData>
  <conditionalFormatting sqref="G3:G8">
    <cfRule type="duplicateValues" dxfId="1" priority="1"/>
    <cfRule type="duplicateValues" dxfId="0" priority="2"/>
  </conditionalFormatting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1205lab014</dc:creator>
  <cp:lastModifiedBy>JOSÉ ULISSES FERNANDES JUNIOR</cp:lastModifiedBy>
  <dcterms:created xsi:type="dcterms:W3CDTF">2025-11-03T11:50:36Z</dcterms:created>
  <dcterms:modified xsi:type="dcterms:W3CDTF">2025-11-24T19:31:54Z</dcterms:modified>
</cp:coreProperties>
</file>